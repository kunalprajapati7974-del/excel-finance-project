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97c38e75bbfd3d/Documents/"/>
    </mc:Choice>
  </mc:AlternateContent>
  <xr:revisionPtr revIDLastSave="92" documentId="8_{88AB4F52-FB91-47E4-BD50-399ADC913A7E}" xr6:coauthVersionLast="47" xr6:coauthVersionMax="47" xr10:uidLastSave="{09F74718-B893-498B-A11E-50A0DB8A4C82}"/>
  <bookViews>
    <workbookView xWindow="-108" yWindow="-108" windowWidth="23256" windowHeight="13896" activeTab="1" xr2:uid="{0AA4E486-0516-444B-A392-E53AC42A9107}"/>
  </bookViews>
  <sheets>
    <sheet name="Profit and loss" sheetId="1" r:id="rId1"/>
    <sheet name="Balance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2" i="2"/>
  <c r="E3" i="2"/>
  <c r="E2" i="2"/>
  <c r="D3" i="1"/>
  <c r="D2" i="1"/>
</calcChain>
</file>

<file path=xl/sharedStrings.xml><?xml version="1.0" encoding="utf-8"?>
<sst xmlns="http://schemas.openxmlformats.org/spreadsheetml/2006/main" count="10" uniqueCount="9">
  <si>
    <t>Year</t>
  </si>
  <si>
    <t xml:space="preserve">Revenue </t>
  </si>
  <si>
    <t>Net Profit</t>
  </si>
  <si>
    <t>Current Asstes</t>
  </si>
  <si>
    <t>Current Liabilities</t>
  </si>
  <si>
    <t>Shareholder's Equity</t>
  </si>
  <si>
    <t>Net Profit Margin</t>
  </si>
  <si>
    <t>Current Ratio</t>
  </si>
  <si>
    <t xml:space="preserve">   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</si>
</sst>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3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TCS</a:t>
            </a:r>
            <a:r>
              <a:rPr lang="en-IN" baseline="0"/>
              <a:t> Revenue vs Net Profit (2023-2024)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991426071741032"/>
          <c:y val="0.17171296296296298"/>
          <c:w val="0.85230796150481192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and loss'!$A$1:$C$1</c:f>
              <c:strCache>
                <c:ptCount val="3"/>
                <c:pt idx="0">
                  <c:v>Year</c:v>
                </c:pt>
                <c:pt idx="1">
                  <c:v>Revenue </c:v>
                </c:pt>
                <c:pt idx="2">
                  <c:v>Net Profit</c:v>
                </c:pt>
              </c:strCache>
            </c:strRef>
          </c:cat>
          <c:val>
            <c:numRef>
              <c:f>'Profit and loss'!$A$2:$C$2</c:f>
              <c:numCache>
                <c:formatCode>#,##0</c:formatCode>
                <c:ptCount val="3"/>
                <c:pt idx="0" formatCode="General">
                  <c:v>2024</c:v>
                </c:pt>
                <c:pt idx="1">
                  <c:v>245315</c:v>
                </c:pt>
                <c:pt idx="2">
                  <c:v>46099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D-472F-BD23-BC80A4CF0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752256"/>
        <c:axId val="9474889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 and loss'!$A$1:$C$1</c:f>
              <c:strCache>
                <c:ptCount val="3"/>
                <c:pt idx="0">
                  <c:v>Year</c:v>
                </c:pt>
                <c:pt idx="1">
                  <c:v>Revenue </c:v>
                </c:pt>
                <c:pt idx="2">
                  <c:v>Net Profit</c:v>
                </c:pt>
              </c:strCache>
            </c:strRef>
          </c:cat>
          <c:val>
            <c:numRef>
              <c:f>'Profit and loss'!$A$3:$C$3</c:f>
              <c:numCache>
                <c:formatCode>#,##0</c:formatCode>
                <c:ptCount val="3"/>
                <c:pt idx="0" formatCode="General">
                  <c:v>2023</c:v>
                </c:pt>
                <c:pt idx="1">
                  <c:v>228907</c:v>
                </c:pt>
                <c:pt idx="2">
                  <c:v>42303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3D-472F-BD23-BC80A4CF0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976592"/>
        <c:axId val="94976112"/>
      </c:lineChart>
      <c:catAx>
        <c:axId val="9475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8896"/>
        <c:crosses val="autoZero"/>
        <c:auto val="1"/>
        <c:lblAlgn val="ctr"/>
        <c:lblOffset val="100"/>
        <c:noMultiLvlLbl val="0"/>
      </c:catAx>
      <c:valAx>
        <c:axId val="947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52256"/>
        <c:crosses val="autoZero"/>
        <c:crossBetween val="between"/>
      </c:valAx>
      <c:valAx>
        <c:axId val="949761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6592"/>
        <c:crosses val="max"/>
        <c:crossBetween val="between"/>
      </c:valAx>
      <c:catAx>
        <c:axId val="94976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976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TCS</a:t>
            </a:r>
            <a:r>
              <a:rPr lang="en-IN" baseline="0"/>
              <a:t> Balance Sheet Comparision (2023-2024)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'Balance Sheet'!$A$1:$D$1</c:f>
              <c:strCache>
                <c:ptCount val="4"/>
                <c:pt idx="0">
                  <c:v>Year</c:v>
                </c:pt>
                <c:pt idx="1">
                  <c:v>Current Asstes</c:v>
                </c:pt>
                <c:pt idx="2">
                  <c:v>Current Liabilities</c:v>
                </c:pt>
                <c:pt idx="3">
                  <c:v>Shareholder's Equity</c:v>
                </c:pt>
              </c:strCache>
            </c:strRef>
          </c:cat>
          <c:val>
            <c:numRef>
              <c:f>'Balance Sheet'!$A$2:$D$2</c:f>
              <c:numCache>
                <c:formatCode>#,##0</c:formatCode>
                <c:ptCount val="4"/>
                <c:pt idx="0" formatCode="General">
                  <c:v>2024</c:v>
                </c:pt>
                <c:pt idx="1">
                  <c:v>112984</c:v>
                </c:pt>
                <c:pt idx="2">
                  <c:v>46104</c:v>
                </c:pt>
                <c:pt idx="3">
                  <c:v>90489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D-41EA-B41C-74A324608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272288"/>
        <c:axId val="9326748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'Balance Sheet'!$A$1:$D$1</c:f>
              <c:strCache>
                <c:ptCount val="4"/>
                <c:pt idx="0">
                  <c:v>Year</c:v>
                </c:pt>
                <c:pt idx="1">
                  <c:v>Current Asstes</c:v>
                </c:pt>
                <c:pt idx="2">
                  <c:v>Current Liabilities</c:v>
                </c:pt>
                <c:pt idx="3">
                  <c:v>Shareholder's Equity</c:v>
                </c:pt>
              </c:strCache>
            </c:strRef>
          </c:cat>
          <c:val>
            <c:numRef>
              <c:f>'Balance Sheet'!$A$3:$D$3</c:f>
              <c:numCache>
                <c:formatCode>#,##0</c:formatCode>
                <c:ptCount val="4"/>
                <c:pt idx="0" formatCode="General">
                  <c:v>2023</c:v>
                </c:pt>
                <c:pt idx="1">
                  <c:v>110270</c:v>
                </c:pt>
                <c:pt idx="2">
                  <c:v>43558</c:v>
                </c:pt>
                <c:pt idx="3">
                  <c:v>90424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D-41EA-B41C-74A324608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77520"/>
        <c:axId val="151471280"/>
      </c:lineChart>
      <c:catAx>
        <c:axId val="9327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7488"/>
        <c:crosses val="autoZero"/>
        <c:auto val="1"/>
        <c:lblAlgn val="ctr"/>
        <c:lblOffset val="100"/>
        <c:noMultiLvlLbl val="0"/>
      </c:catAx>
      <c:valAx>
        <c:axId val="9326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2288"/>
        <c:crosses val="autoZero"/>
        <c:crossBetween val="between"/>
      </c:valAx>
      <c:valAx>
        <c:axId val="1514712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77520"/>
        <c:crosses val="max"/>
        <c:crossBetween val="between"/>
      </c:valAx>
      <c:catAx>
        <c:axId val="151477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471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7854</xdr:colOff>
      <xdr:row>4</xdr:row>
      <xdr:rowOff>7855</xdr:rowOff>
    </xdr:from>
    <xdr:to>
      <xdr:col>6</xdr:col>
      <xdr:colOff>612741</xdr:colOff>
      <xdr:row>19</xdr:row>
      <xdr:rowOff>24352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9342C5-0AC6-ABFC-E63F-012FFD438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179070</xdr:rowOff>
    </xdr:from>
    <xdr:to>
      <xdr:col>5</xdr:col>
      <xdr:colOff>594360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3FEC2-2241-04FC-66EC-22349FC5F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EA8C-9AF0-45A0-925E-FA4372B611E1}">
  <dimension ref="A1:H10"/>
  <sheetViews>
    <sheetView zoomScale="97" zoomScaleNormal="100" workbookViewId="0">
      <selection activeCell="M27" sqref="M27"/>
    </sheetView>
  </sheetViews>
  <sheetFormatPr defaultRowHeight="14.4" x14ac:dyDescent="0.3"/>
  <cols>
    <col min="1" max="1" width="9.109375" customWidth="1"/>
    <col min="4" max="4" width="14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8" x14ac:dyDescent="0.3">
      <c r="A2">
        <v>2024</v>
      </c>
      <c r="B2" s="2">
        <v>245315</v>
      </c>
      <c r="C2" s="2">
        <v>46099</v>
      </c>
      <c r="D2" s="4">
        <f>C2/B2</f>
        <v>0.18791757536228931</v>
      </c>
    </row>
    <row r="3" spans="1:8" x14ac:dyDescent="0.3">
      <c r="A3">
        <v>2023</v>
      </c>
      <c r="B3" s="2">
        <v>228907</v>
      </c>
      <c r="C3" s="2">
        <v>42303</v>
      </c>
      <c r="D3" s="3">
        <f>C3/B3</f>
        <v>0.18480430917359453</v>
      </c>
    </row>
    <row r="10" spans="1:8" x14ac:dyDescent="0.3">
      <c r="H10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C24E-F087-4013-8D1C-E95D1FB2DF73}">
  <dimension ref="A1:F3"/>
  <sheetViews>
    <sheetView tabSelected="1" workbookViewId="0">
      <selection activeCell="K27" sqref="K27"/>
    </sheetView>
  </sheetViews>
  <sheetFormatPr defaultRowHeight="14.4" x14ac:dyDescent="0.3"/>
  <cols>
    <col min="2" max="2" width="12.77734375" bestFit="1" customWidth="1"/>
    <col min="3" max="3" width="14.88671875" customWidth="1"/>
    <col min="4" max="4" width="17.88671875" customWidth="1"/>
    <col min="5" max="5" width="11.33203125" customWidth="1"/>
  </cols>
  <sheetData>
    <row r="1" spans="1:6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</row>
    <row r="2" spans="1:6" x14ac:dyDescent="0.3">
      <c r="A2">
        <v>2024</v>
      </c>
      <c r="B2" s="2">
        <v>112984</v>
      </c>
      <c r="C2" s="2">
        <v>46104</v>
      </c>
      <c r="D2" s="2">
        <v>90489</v>
      </c>
      <c r="E2">
        <f>B2/C2</f>
        <v>2.4506333506854068</v>
      </c>
      <c r="F2">
        <f>'Balance Sheet'!C2/'Balance Sheet'!D2*100</f>
        <v>50.949839206975433</v>
      </c>
    </row>
    <row r="3" spans="1:6" x14ac:dyDescent="0.3">
      <c r="A3">
        <v>2023</v>
      </c>
      <c r="B3" s="2">
        <v>110270</v>
      </c>
      <c r="C3" s="2">
        <v>43558</v>
      </c>
      <c r="D3" s="2">
        <v>90424</v>
      </c>
      <c r="E3">
        <f>B3/C3</f>
        <v>2.5315671059277287</v>
      </c>
      <c r="F3">
        <f>'Balance Sheet'!C3/'Balance Sheet'!D3*100</f>
        <v>48.17083960010617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 and loss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kunalprajapati7974@gmail.com</dc:creator>
  <cp:lastModifiedBy>kunalprajapati7974@gmail.com</cp:lastModifiedBy>
  <cp:lastPrinted>2026-02-03T16:01:55Z</cp:lastPrinted>
  <dcterms:created xsi:type="dcterms:W3CDTF">2026-02-03T15:28:19Z</dcterms:created>
  <dcterms:modified xsi:type="dcterms:W3CDTF">2026-02-13T13:39:01Z</dcterms:modified>
</cp:coreProperties>
</file>